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17cb559ab066fb7/Documents/MINIPROJECTS/"/>
    </mc:Choice>
  </mc:AlternateContent>
  <xr:revisionPtr revIDLastSave="0" documentId="8_{BDAB5129-6C4E-4D79-9247-B2C01B8CC794}" xr6:coauthVersionLast="47" xr6:coauthVersionMax="47" xr10:uidLastSave="{00000000-0000-0000-0000-000000000000}"/>
  <bookViews>
    <workbookView xWindow="0" yWindow="0" windowWidth="20490" windowHeight="10920" xr2:uid="{4593FA57-3C75-42B3-93AE-BAFBEDF8B3D5}"/>
  </bookViews>
  <sheets>
    <sheet name="PERSONAL_BUDGET_TRACKER" sheetId="2" r:id="rId1"/>
    <sheet name="EXPENSES_BY_CATEGOTIES" sheetId="4" r:id="rId2"/>
  </sheets>
  <definedNames>
    <definedName name="ExternalData_1" localSheetId="1" hidden="1">EXPENSES_BY_CATEGOTIES!$A$1:$D$25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2" l="1"/>
  <c r="C29" i="2"/>
  <c r="C28" i="2"/>
  <c r="C27" i="2"/>
  <c r="C26" i="2"/>
  <c r="C25" i="2"/>
  <c r="C24" i="2"/>
  <c r="C23" i="2"/>
  <c r="C22" i="2"/>
  <c r="C21" i="2"/>
  <c r="C20" i="2"/>
  <c r="C19" i="2"/>
  <c r="I12" i="2"/>
  <c r="J12" i="2"/>
  <c r="K12" i="2"/>
  <c r="L12" i="2"/>
  <c r="M12" i="2"/>
  <c r="N12" i="2"/>
  <c r="H12" i="2"/>
  <c r="E12" i="2"/>
  <c r="F12" i="2"/>
  <c r="G12" i="2"/>
  <c r="D12" i="2"/>
  <c r="C12" i="2"/>
  <c r="C13" i="2"/>
  <c r="N11" i="2"/>
  <c r="L11" i="2"/>
  <c r="M11" i="2"/>
  <c r="K11" i="2"/>
  <c r="G11" i="2"/>
  <c r="H11" i="2"/>
  <c r="I11" i="2"/>
  <c r="J11" i="2"/>
  <c r="E11" i="2"/>
  <c r="F11" i="2"/>
  <c r="G10" i="4"/>
  <c r="G9" i="4"/>
  <c r="G8" i="4"/>
  <c r="G7" i="4"/>
  <c r="G6" i="4"/>
  <c r="G5" i="4"/>
  <c r="D11" i="2"/>
  <c r="C1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A09EA6-45CD-46AD-89E7-3B974966CAAB}" keepAlive="1" name="Query - Date-Category-Amount-Notes" description="Connection to the 'Date-Category-Amount-Notes' query in the workbook." type="5" refreshedVersion="8" background="1" saveData="1">
    <dbPr connection="Provider=Microsoft.Mashup.OleDb.1;Data Source=$Workbook$;Location=Date-Category-Amount-Notes;Extended Properties=&quot;&quot;" command="SELECT * FROM [Date-Category-Amount-Notes]"/>
  </connection>
</connections>
</file>

<file path=xl/sharedStrings.xml><?xml version="1.0" encoding="utf-8"?>
<sst xmlns="http://schemas.openxmlformats.org/spreadsheetml/2006/main" count="98" uniqueCount="68">
  <si>
    <t>Category</t>
  </si>
  <si>
    <t>Amount</t>
  </si>
  <si>
    <t>Food</t>
  </si>
  <si>
    <t>Transport</t>
  </si>
  <si>
    <t>Rent</t>
  </si>
  <si>
    <t>Internet</t>
  </si>
  <si>
    <t>Total</t>
  </si>
  <si>
    <t>Average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</si>
  <si>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</si>
  <si>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</si>
  <si>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</si>
  <si>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</si>
  <si>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</si>
  <si>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</si>
  <si>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</si>
  <si>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</si>
  <si>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</si>
  <si>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</si>
  <si>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</si>
  <si>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</si>
  <si>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Shoping</t>
  </si>
  <si>
    <t>Electricity</t>
  </si>
  <si>
    <t>Others</t>
  </si>
  <si>
    <t>Personal_Budget_Tracker</t>
  </si>
  <si>
    <t>Grand total</t>
  </si>
  <si>
    <t>Date</t>
  </si>
  <si>
    <t>Notes</t>
  </si>
  <si>
    <t>Groceries – supermarket</t>
  </si>
  <si>
    <t>Auto to college</t>
  </si>
  <si>
    <t>Entertainment</t>
  </si>
  <si>
    <t>Movie with friends</t>
  </si>
  <si>
    <t>Shopping</t>
  </si>
  <si>
    <t>Clothes</t>
  </si>
  <si>
    <t>Utilities</t>
  </si>
  <si>
    <t>Mobile recharge</t>
  </si>
  <si>
    <t>Snacks outside</t>
  </si>
  <si>
    <t>Other</t>
  </si>
  <si>
    <t>Gifts</t>
  </si>
  <si>
    <t>Bus pass</t>
  </si>
  <si>
    <t>Groceries – monthly</t>
  </si>
  <si>
    <t>Groceries</t>
  </si>
  <si>
    <t>Online order</t>
  </si>
  <si>
    <t>OTT subscription</t>
  </si>
  <si>
    <t>Auto</t>
  </si>
  <si>
    <t>Electricity bill</t>
  </si>
  <si>
    <t>Dinner outside</t>
  </si>
  <si>
    <t>Stationery</t>
  </si>
  <si>
    <t>Shoes</t>
  </si>
  <si>
    <t>Gaming café</t>
  </si>
  <si>
    <t>Wi‑Fi bill</t>
  </si>
  <si>
    <t>Snacks</t>
  </si>
  <si>
    <t>Small gift</t>
  </si>
  <si>
    <t>Bus</t>
  </si>
  <si>
    <t>Total Spent</t>
  </si>
  <si>
    <t>month</t>
  </si>
  <si>
    <t>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</si>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</sst>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3" fontId="0" fillId="0" borderId="0" xfId="0" applyNumberFormat="1"/>
    <xf numFmtId="3" fontId="0" fillId="2" borderId="1" xfId="0" applyNumberFormat="1" applyFill="1" applyBorder="1"/>
    <xf numFmtId="0" fontId="1" fillId="3" borderId="1" xfId="0" applyFont="1" applyFill="1" applyBorder="1"/>
    <xf numFmtId="14" fontId="0" fillId="0" borderId="0" xfId="0" applyNumberFormat="1"/>
    <xf numFmtId="43" fontId="0" fillId="0" borderId="0" xfId="1" applyFont="1"/>
    <xf numFmtId="0" fontId="1" fillId="0" borderId="0" xfId="0" applyFont="1" applyAlignment="1">
      <alignment horizontal="center"/>
    </xf>
    <xf numFmtId="3" fontId="0" fillId="2" borderId="1" xfId="0" applyNumberFormat="1" applyFill="1" applyBorder="1" applyAlignment="1">
      <alignment horizontal="left"/>
    </xf>
  </cellXfs>
  <cellStyles count="2">
    <cellStyle name="Comma" xfId="1" builtinId="3"/>
    <cellStyle name="Normal" xfId="0" builtinId="0"/>
  </cellStyles>
  <dxfs count="3"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Expenses By Category (Year)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PERSONAL_BUDGET_TRACKER!$B$4</c:f>
              <c:strCache>
                <c:ptCount val="1"/>
                <c:pt idx="0">
                  <c:v>Food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A4A6-44FD-946C-2BACF023BF66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A4A6-44FD-946C-2BACF023BF66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A4A6-44FD-946C-2BACF023BF66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A4A6-44FD-946C-2BACF023BF66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A4A6-44FD-946C-2BACF023BF66}"/>
              </c:ext>
            </c:extLst>
          </c:dPt>
          <c:dPt>
            <c:idx val="5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B-A4A6-44FD-946C-2BACF023BF66}"/>
              </c:ext>
            </c:extLst>
          </c:dPt>
          <c:dPt>
            <c:idx val="6"/>
            <c:bubble3D val="0"/>
            <c:spPr>
              <a:pattFill prst="ltUpDiag">
                <a:fgClr>
                  <a:schemeClr val="accent1">
                    <a:lumMod val="60000"/>
                  </a:schemeClr>
                </a:fgClr>
                <a:bgClr>
                  <a:schemeClr val="accent1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D-A4A6-44FD-946C-2BACF023BF66}"/>
              </c:ext>
            </c:extLst>
          </c:dPt>
          <c:dPt>
            <c:idx val="7"/>
            <c:bubble3D val="0"/>
            <c:spPr>
              <a:pattFill prst="ltUpDiag">
                <a:fgClr>
                  <a:schemeClr val="accent2">
                    <a:lumMod val="60000"/>
                  </a:schemeClr>
                </a:fgClr>
                <a:bgClr>
                  <a:schemeClr val="accent2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F-A4A6-44FD-946C-2BACF023BF66}"/>
              </c:ext>
            </c:extLst>
          </c:dPt>
          <c:dPt>
            <c:idx val="8"/>
            <c:bubble3D val="0"/>
            <c:spPr>
              <a:pattFill prst="ltUpDiag">
                <a:fgClr>
                  <a:schemeClr val="accent3">
                    <a:lumMod val="60000"/>
                  </a:schemeClr>
                </a:fgClr>
                <a:bgClr>
                  <a:schemeClr val="accent3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1-A4A6-44FD-946C-2BACF023BF66}"/>
              </c:ext>
            </c:extLst>
          </c:dPt>
          <c:dPt>
            <c:idx val="9"/>
            <c:bubble3D val="0"/>
            <c:spPr>
              <a:pattFill prst="ltUpDiag">
                <a:fgClr>
                  <a:schemeClr val="accent4">
                    <a:lumMod val="60000"/>
                  </a:schemeClr>
                </a:fgClr>
                <a:bgClr>
                  <a:schemeClr val="accent4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3-A4A6-44FD-946C-2BACF023BF66}"/>
              </c:ext>
            </c:extLst>
          </c:dPt>
          <c:dPt>
            <c:idx val="10"/>
            <c:bubble3D val="0"/>
            <c:spPr>
              <a:pattFill prst="ltUpDiag">
                <a:fgClr>
                  <a:schemeClr val="accent5">
                    <a:lumMod val="60000"/>
                  </a:schemeClr>
                </a:fgClr>
                <a:bgClr>
                  <a:schemeClr val="accent5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5-A4A6-44FD-946C-2BACF023BF66}"/>
              </c:ext>
            </c:extLst>
          </c:dPt>
          <c:dPt>
            <c:idx val="11"/>
            <c:bubble3D val="0"/>
            <c:spPr>
              <a:pattFill prst="ltUpDiag">
                <a:fgClr>
                  <a:schemeClr val="accent6">
                    <a:lumMod val="60000"/>
                  </a:schemeClr>
                </a:fgClr>
                <a:bgClr>
                  <a:schemeClr val="accent6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7-A4A6-44FD-946C-2BACF023BF66}"/>
              </c:ext>
            </c:extLst>
          </c:dPt>
          <c:cat>
            <c:strRef>
              <c:f>PERSONAL_BUDGET_TRACKER!$C$3:$N$3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PERSONAL_BUDGET_TRACKER!$C$4:$N$4</c:f>
              <c:numCache>
                <c:formatCode>_(* #,##0.00_);_(* \(#,##0.00\);_(* "-"??_);_(@_)</c:formatCode>
                <c:ptCount val="12"/>
                <c:pt idx="0">
                  <c:v>8000</c:v>
                </c:pt>
                <c:pt idx="1">
                  <c:v>9000</c:v>
                </c:pt>
                <c:pt idx="2">
                  <c:v>10000</c:v>
                </c:pt>
                <c:pt idx="3">
                  <c:v>7500</c:v>
                </c:pt>
                <c:pt idx="4">
                  <c:v>5000</c:v>
                </c:pt>
                <c:pt idx="5">
                  <c:v>2500</c:v>
                </c:pt>
                <c:pt idx="6">
                  <c:v>2800</c:v>
                </c:pt>
                <c:pt idx="7">
                  <c:v>1600</c:v>
                </c:pt>
                <c:pt idx="8">
                  <c:v>3400</c:v>
                </c:pt>
                <c:pt idx="9">
                  <c:v>5800</c:v>
                </c:pt>
                <c:pt idx="10">
                  <c:v>2000</c:v>
                </c:pt>
                <c:pt idx="11">
                  <c:v>3200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75-4A4A-B258-E518F04C7B93}"/>
            </c:ext>
          </c:extLst>
        </c:ser>
        <c:ser>
          <c:idx val="1"/>
          <c:order val="1"/>
          <c:tx>
            <c:strRef>
              <c:f>PERSONAL_BUDGET_TRACKER!$B$5</c:f>
              <c:strCache>
                <c:ptCount val="1"/>
                <c:pt idx="0">
                  <c:v>Transport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9-A4A6-44FD-946C-2BACF023BF66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B-A4A6-44FD-946C-2BACF023BF66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D-A4A6-44FD-946C-2BACF023BF66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F-A4A6-44FD-946C-2BACF023BF66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1-A4A6-44FD-946C-2BACF023BF66}"/>
              </c:ext>
            </c:extLst>
          </c:dPt>
          <c:dPt>
            <c:idx val="5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3-A4A6-44FD-946C-2BACF023BF66}"/>
              </c:ext>
            </c:extLst>
          </c:dPt>
          <c:dPt>
            <c:idx val="6"/>
            <c:bubble3D val="0"/>
            <c:spPr>
              <a:pattFill prst="ltUpDiag">
                <a:fgClr>
                  <a:schemeClr val="accent1">
                    <a:lumMod val="60000"/>
                  </a:schemeClr>
                </a:fgClr>
                <a:bgClr>
                  <a:schemeClr val="accent1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5-A4A6-44FD-946C-2BACF023BF66}"/>
              </c:ext>
            </c:extLst>
          </c:dPt>
          <c:dPt>
            <c:idx val="7"/>
            <c:bubble3D val="0"/>
            <c:spPr>
              <a:pattFill prst="ltUpDiag">
                <a:fgClr>
                  <a:schemeClr val="accent2">
                    <a:lumMod val="60000"/>
                  </a:schemeClr>
                </a:fgClr>
                <a:bgClr>
                  <a:schemeClr val="accent2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7-A4A6-44FD-946C-2BACF023BF66}"/>
              </c:ext>
            </c:extLst>
          </c:dPt>
          <c:dPt>
            <c:idx val="8"/>
            <c:bubble3D val="0"/>
            <c:spPr>
              <a:pattFill prst="ltUpDiag">
                <a:fgClr>
                  <a:schemeClr val="accent3">
                    <a:lumMod val="60000"/>
                  </a:schemeClr>
                </a:fgClr>
                <a:bgClr>
                  <a:schemeClr val="accent3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9-A4A6-44FD-946C-2BACF023BF66}"/>
              </c:ext>
            </c:extLst>
          </c:dPt>
          <c:dPt>
            <c:idx val="9"/>
            <c:bubble3D val="0"/>
            <c:spPr>
              <a:pattFill prst="ltUpDiag">
                <a:fgClr>
                  <a:schemeClr val="accent4">
                    <a:lumMod val="60000"/>
                  </a:schemeClr>
                </a:fgClr>
                <a:bgClr>
                  <a:schemeClr val="accent4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B-A4A6-44FD-946C-2BACF023BF66}"/>
              </c:ext>
            </c:extLst>
          </c:dPt>
          <c:dPt>
            <c:idx val="10"/>
            <c:bubble3D val="0"/>
            <c:spPr>
              <a:pattFill prst="ltUpDiag">
                <a:fgClr>
                  <a:schemeClr val="accent5">
                    <a:lumMod val="60000"/>
                  </a:schemeClr>
                </a:fgClr>
                <a:bgClr>
                  <a:schemeClr val="accent5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D-A4A6-44FD-946C-2BACF023BF66}"/>
              </c:ext>
            </c:extLst>
          </c:dPt>
          <c:dPt>
            <c:idx val="11"/>
            <c:bubble3D val="0"/>
            <c:spPr>
              <a:pattFill prst="ltUpDiag">
                <a:fgClr>
                  <a:schemeClr val="accent6">
                    <a:lumMod val="60000"/>
                  </a:schemeClr>
                </a:fgClr>
                <a:bgClr>
                  <a:schemeClr val="accent6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F-A4A6-44FD-946C-2BACF023BF66}"/>
              </c:ext>
            </c:extLst>
          </c:dPt>
          <c:cat>
            <c:strRef>
              <c:f>PERSONAL_BUDGET_TRACKER!$C$3:$N$3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PERSONAL_BUDGET_TRACKER!$C$5:$N$5</c:f>
              <c:numCache>
                <c:formatCode>_(* #,##0.00_);_(* \(#,##0.00\);_(* "-"??_);_(@_)</c:formatCode>
                <c:ptCount val="12"/>
                <c:pt idx="0">
                  <c:v>3000</c:v>
                </c:pt>
                <c:pt idx="1">
                  <c:v>2500</c:v>
                </c:pt>
                <c:pt idx="2">
                  <c:v>4000</c:v>
                </c:pt>
                <c:pt idx="3">
                  <c:v>3870</c:v>
                </c:pt>
                <c:pt idx="4">
                  <c:v>4370</c:v>
                </c:pt>
                <c:pt idx="5">
                  <c:v>4781</c:v>
                </c:pt>
                <c:pt idx="6">
                  <c:v>5192</c:v>
                </c:pt>
                <c:pt idx="7">
                  <c:v>5603</c:v>
                </c:pt>
                <c:pt idx="8">
                  <c:v>6014</c:v>
                </c:pt>
                <c:pt idx="9">
                  <c:v>6425</c:v>
                </c:pt>
                <c:pt idx="10">
                  <c:v>6836</c:v>
                </c:pt>
                <c:pt idx="11">
                  <c:v>5247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75-4A4A-B258-E518F04C7B93}"/>
            </c:ext>
          </c:extLst>
        </c:ser>
        <c:ser>
          <c:idx val="2"/>
          <c:order val="2"/>
          <c:tx>
            <c:strRef>
              <c:f>PERSONAL_BUDGET_TRACKER!$B$6</c:f>
              <c:strCache>
                <c:ptCount val="1"/>
                <c:pt idx="0">
                  <c:v>Rent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31-A4A6-44FD-946C-2BACF023BF66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33-A4A6-44FD-946C-2BACF023BF66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35-A4A6-44FD-946C-2BACF023BF66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37-A4A6-44FD-946C-2BACF023BF66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39-A4A6-44FD-946C-2BACF023BF66}"/>
              </c:ext>
            </c:extLst>
          </c:dPt>
          <c:dPt>
            <c:idx val="5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3B-A4A6-44FD-946C-2BACF023BF66}"/>
              </c:ext>
            </c:extLst>
          </c:dPt>
          <c:dPt>
            <c:idx val="6"/>
            <c:bubble3D val="0"/>
            <c:spPr>
              <a:pattFill prst="ltUpDiag">
                <a:fgClr>
                  <a:schemeClr val="accent1">
                    <a:lumMod val="60000"/>
                  </a:schemeClr>
                </a:fgClr>
                <a:bgClr>
                  <a:schemeClr val="accent1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3D-A4A6-44FD-946C-2BACF023BF66}"/>
              </c:ext>
            </c:extLst>
          </c:dPt>
          <c:dPt>
            <c:idx val="7"/>
            <c:bubble3D val="0"/>
            <c:spPr>
              <a:pattFill prst="ltUpDiag">
                <a:fgClr>
                  <a:schemeClr val="accent2">
                    <a:lumMod val="60000"/>
                  </a:schemeClr>
                </a:fgClr>
                <a:bgClr>
                  <a:schemeClr val="accent2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3F-A4A6-44FD-946C-2BACF023BF66}"/>
              </c:ext>
            </c:extLst>
          </c:dPt>
          <c:dPt>
            <c:idx val="8"/>
            <c:bubble3D val="0"/>
            <c:spPr>
              <a:pattFill prst="ltUpDiag">
                <a:fgClr>
                  <a:schemeClr val="accent3">
                    <a:lumMod val="60000"/>
                  </a:schemeClr>
                </a:fgClr>
                <a:bgClr>
                  <a:schemeClr val="accent3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41-A4A6-44FD-946C-2BACF023BF66}"/>
              </c:ext>
            </c:extLst>
          </c:dPt>
          <c:dPt>
            <c:idx val="9"/>
            <c:bubble3D val="0"/>
            <c:spPr>
              <a:pattFill prst="ltUpDiag">
                <a:fgClr>
                  <a:schemeClr val="accent4">
                    <a:lumMod val="60000"/>
                  </a:schemeClr>
                </a:fgClr>
                <a:bgClr>
                  <a:schemeClr val="accent4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43-A4A6-44FD-946C-2BACF023BF66}"/>
              </c:ext>
            </c:extLst>
          </c:dPt>
          <c:dPt>
            <c:idx val="10"/>
            <c:bubble3D val="0"/>
            <c:spPr>
              <a:pattFill prst="ltUpDiag">
                <a:fgClr>
                  <a:schemeClr val="accent5">
                    <a:lumMod val="60000"/>
                  </a:schemeClr>
                </a:fgClr>
                <a:bgClr>
                  <a:schemeClr val="accent5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45-A4A6-44FD-946C-2BACF023BF66}"/>
              </c:ext>
            </c:extLst>
          </c:dPt>
          <c:dPt>
            <c:idx val="11"/>
            <c:bubble3D val="0"/>
            <c:spPr>
              <a:pattFill prst="ltUpDiag">
                <a:fgClr>
                  <a:schemeClr val="accent6">
                    <a:lumMod val="60000"/>
                  </a:schemeClr>
                </a:fgClr>
                <a:bgClr>
                  <a:schemeClr val="accent6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47-A4A6-44FD-946C-2BACF023BF66}"/>
              </c:ext>
            </c:extLst>
          </c:dPt>
          <c:cat>
            <c:strRef>
              <c:f>PERSONAL_BUDGET_TRACKER!$C$3:$N$3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PERSONAL_BUDGET_TRACKER!$C$6:$N$6</c:f>
              <c:numCache>
                <c:formatCode>_(* #,##0.00_);_(* \(#,##0.00\);_(* "-"??_);_(@_)</c:formatCode>
                <c:ptCount val="12"/>
                <c:pt idx="0">
                  <c:v>12000</c:v>
                </c:pt>
                <c:pt idx="1">
                  <c:v>12000</c:v>
                </c:pt>
                <c:pt idx="2">
                  <c:v>12000</c:v>
                </c:pt>
                <c:pt idx="3">
                  <c:v>12000</c:v>
                </c:pt>
                <c:pt idx="4">
                  <c:v>12000</c:v>
                </c:pt>
                <c:pt idx="5">
                  <c:v>12000</c:v>
                </c:pt>
                <c:pt idx="6">
                  <c:v>12000</c:v>
                </c:pt>
                <c:pt idx="7">
                  <c:v>12000</c:v>
                </c:pt>
                <c:pt idx="8">
                  <c:v>12000</c:v>
                </c:pt>
                <c:pt idx="9">
                  <c:v>12000</c:v>
                </c:pt>
                <c:pt idx="10">
                  <c:v>12000</c:v>
                </c:pt>
                <c:pt idx="11">
                  <c:v>12000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975-4A4A-B258-E518F04C7B93}"/>
            </c:ext>
          </c:extLst>
        </c:ser>
        <c:ser>
          <c:idx val="3"/>
          <c:order val="3"/>
          <c:tx>
            <c:strRef>
              <c:f>PERSONAL_BUDGET_TRACKER!$B$7</c:f>
              <c:strCache>
                <c:ptCount val="1"/>
                <c:pt idx="0">
                  <c:v>Internet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49-A4A6-44FD-946C-2BACF023BF66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4B-A4A6-44FD-946C-2BACF023BF66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4D-A4A6-44FD-946C-2BACF023BF66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4F-A4A6-44FD-946C-2BACF023BF66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51-A4A6-44FD-946C-2BACF023BF66}"/>
              </c:ext>
            </c:extLst>
          </c:dPt>
          <c:dPt>
            <c:idx val="5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53-A4A6-44FD-946C-2BACF023BF66}"/>
              </c:ext>
            </c:extLst>
          </c:dPt>
          <c:dPt>
            <c:idx val="6"/>
            <c:bubble3D val="0"/>
            <c:spPr>
              <a:pattFill prst="ltUpDiag">
                <a:fgClr>
                  <a:schemeClr val="accent1">
                    <a:lumMod val="60000"/>
                  </a:schemeClr>
                </a:fgClr>
                <a:bgClr>
                  <a:schemeClr val="accent1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55-A4A6-44FD-946C-2BACF023BF66}"/>
              </c:ext>
            </c:extLst>
          </c:dPt>
          <c:dPt>
            <c:idx val="7"/>
            <c:bubble3D val="0"/>
            <c:spPr>
              <a:pattFill prst="ltUpDiag">
                <a:fgClr>
                  <a:schemeClr val="accent2">
                    <a:lumMod val="60000"/>
                  </a:schemeClr>
                </a:fgClr>
                <a:bgClr>
                  <a:schemeClr val="accent2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57-A4A6-44FD-946C-2BACF023BF66}"/>
              </c:ext>
            </c:extLst>
          </c:dPt>
          <c:dPt>
            <c:idx val="8"/>
            <c:bubble3D val="0"/>
            <c:spPr>
              <a:pattFill prst="ltUpDiag">
                <a:fgClr>
                  <a:schemeClr val="accent3">
                    <a:lumMod val="60000"/>
                  </a:schemeClr>
                </a:fgClr>
                <a:bgClr>
                  <a:schemeClr val="accent3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59-A4A6-44FD-946C-2BACF023BF66}"/>
              </c:ext>
            </c:extLst>
          </c:dPt>
          <c:dPt>
            <c:idx val="9"/>
            <c:bubble3D val="0"/>
            <c:spPr>
              <a:pattFill prst="ltUpDiag">
                <a:fgClr>
                  <a:schemeClr val="accent4">
                    <a:lumMod val="60000"/>
                  </a:schemeClr>
                </a:fgClr>
                <a:bgClr>
                  <a:schemeClr val="accent4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5B-A4A6-44FD-946C-2BACF023BF66}"/>
              </c:ext>
            </c:extLst>
          </c:dPt>
          <c:dPt>
            <c:idx val="10"/>
            <c:bubble3D val="0"/>
            <c:spPr>
              <a:pattFill prst="ltUpDiag">
                <a:fgClr>
                  <a:schemeClr val="accent5">
                    <a:lumMod val="60000"/>
                  </a:schemeClr>
                </a:fgClr>
                <a:bgClr>
                  <a:schemeClr val="accent5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5D-A4A6-44FD-946C-2BACF023BF66}"/>
              </c:ext>
            </c:extLst>
          </c:dPt>
          <c:dPt>
            <c:idx val="11"/>
            <c:bubble3D val="0"/>
            <c:spPr>
              <a:pattFill prst="ltUpDiag">
                <a:fgClr>
                  <a:schemeClr val="accent6">
                    <a:lumMod val="60000"/>
                  </a:schemeClr>
                </a:fgClr>
                <a:bgClr>
                  <a:schemeClr val="accent6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5F-A4A6-44FD-946C-2BACF023BF66}"/>
              </c:ext>
            </c:extLst>
          </c:dPt>
          <c:cat>
            <c:strRef>
              <c:f>PERSONAL_BUDGET_TRACKER!$C$3:$N$3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PERSONAL_BUDGET_TRACKER!$C$7:$N$7</c:f>
              <c:numCache>
                <c:formatCode>_(* #,##0.00_);_(* \(#,##0.00\);_(* "-"??_);_(@_)</c:formatCode>
                <c:ptCount val="12"/>
                <c:pt idx="0">
                  <c:v>700</c:v>
                </c:pt>
                <c:pt idx="1">
                  <c:v>700</c:v>
                </c:pt>
                <c:pt idx="2">
                  <c:v>700</c:v>
                </c:pt>
                <c:pt idx="3">
                  <c:v>700</c:v>
                </c:pt>
                <c:pt idx="4">
                  <c:v>700</c:v>
                </c:pt>
                <c:pt idx="5">
                  <c:v>700</c:v>
                </c:pt>
                <c:pt idx="6">
                  <c:v>700</c:v>
                </c:pt>
                <c:pt idx="7">
                  <c:v>700</c:v>
                </c:pt>
                <c:pt idx="8">
                  <c:v>700</c:v>
                </c:pt>
                <c:pt idx="9">
                  <c:v>700</c:v>
                </c:pt>
                <c:pt idx="10">
                  <c:v>700</c:v>
                </c:pt>
                <c:pt idx="11">
                  <c:v>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975-4A4A-B258-E518F04C7B93}"/>
            </c:ext>
          </c:extLst>
        </c:ser>
        <c:ser>
          <c:idx val="4"/>
          <c:order val="4"/>
          <c:tx>
            <c:strRef>
              <c:f>PERSONAL_BUDGET_TRACKER!$B$8</c:f>
              <c:strCache>
                <c:ptCount val="1"/>
                <c:pt idx="0">
                  <c:v>Shoping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61-A4A6-44FD-946C-2BACF023BF66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63-A4A6-44FD-946C-2BACF023BF66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65-A4A6-44FD-946C-2BACF023BF66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67-A4A6-44FD-946C-2BACF023BF66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69-A4A6-44FD-946C-2BACF023BF66}"/>
              </c:ext>
            </c:extLst>
          </c:dPt>
          <c:dPt>
            <c:idx val="5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6B-A4A6-44FD-946C-2BACF023BF66}"/>
              </c:ext>
            </c:extLst>
          </c:dPt>
          <c:dPt>
            <c:idx val="6"/>
            <c:bubble3D val="0"/>
            <c:spPr>
              <a:pattFill prst="ltUpDiag">
                <a:fgClr>
                  <a:schemeClr val="accent1">
                    <a:lumMod val="60000"/>
                  </a:schemeClr>
                </a:fgClr>
                <a:bgClr>
                  <a:schemeClr val="accent1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6D-A4A6-44FD-946C-2BACF023BF66}"/>
              </c:ext>
            </c:extLst>
          </c:dPt>
          <c:dPt>
            <c:idx val="7"/>
            <c:bubble3D val="0"/>
            <c:spPr>
              <a:pattFill prst="ltUpDiag">
                <a:fgClr>
                  <a:schemeClr val="accent2">
                    <a:lumMod val="60000"/>
                  </a:schemeClr>
                </a:fgClr>
                <a:bgClr>
                  <a:schemeClr val="accent2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6F-A4A6-44FD-946C-2BACF023BF66}"/>
              </c:ext>
            </c:extLst>
          </c:dPt>
          <c:dPt>
            <c:idx val="8"/>
            <c:bubble3D val="0"/>
            <c:spPr>
              <a:pattFill prst="ltUpDiag">
                <a:fgClr>
                  <a:schemeClr val="accent3">
                    <a:lumMod val="60000"/>
                  </a:schemeClr>
                </a:fgClr>
                <a:bgClr>
                  <a:schemeClr val="accent3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71-A4A6-44FD-946C-2BACF023BF66}"/>
              </c:ext>
            </c:extLst>
          </c:dPt>
          <c:dPt>
            <c:idx val="9"/>
            <c:bubble3D val="0"/>
            <c:spPr>
              <a:pattFill prst="ltUpDiag">
                <a:fgClr>
                  <a:schemeClr val="accent4">
                    <a:lumMod val="60000"/>
                  </a:schemeClr>
                </a:fgClr>
                <a:bgClr>
                  <a:schemeClr val="accent4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73-A4A6-44FD-946C-2BACF023BF66}"/>
              </c:ext>
            </c:extLst>
          </c:dPt>
          <c:dPt>
            <c:idx val="10"/>
            <c:bubble3D val="0"/>
            <c:spPr>
              <a:pattFill prst="ltUpDiag">
                <a:fgClr>
                  <a:schemeClr val="accent5">
                    <a:lumMod val="60000"/>
                  </a:schemeClr>
                </a:fgClr>
                <a:bgClr>
                  <a:schemeClr val="accent5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75-A4A6-44FD-946C-2BACF023BF66}"/>
              </c:ext>
            </c:extLst>
          </c:dPt>
          <c:dPt>
            <c:idx val="11"/>
            <c:bubble3D val="0"/>
            <c:spPr>
              <a:pattFill prst="ltUpDiag">
                <a:fgClr>
                  <a:schemeClr val="accent6">
                    <a:lumMod val="60000"/>
                  </a:schemeClr>
                </a:fgClr>
                <a:bgClr>
                  <a:schemeClr val="accent6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77-A4A6-44FD-946C-2BACF023BF66}"/>
              </c:ext>
            </c:extLst>
          </c:dPt>
          <c:cat>
            <c:strRef>
              <c:f>PERSONAL_BUDGET_TRACKER!$C$3:$N$3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PERSONAL_BUDGET_TRACKER!$C$8:$N$8</c:f>
              <c:numCache>
                <c:formatCode>_(* #,##0.00_);_(* \(#,##0.00\);_(* "-"??_);_(@_)</c:formatCode>
                <c:ptCount val="12"/>
                <c:pt idx="0">
                  <c:v>2000</c:v>
                </c:pt>
                <c:pt idx="1">
                  <c:v>3000</c:v>
                </c:pt>
                <c:pt idx="2">
                  <c:v>2500</c:v>
                </c:pt>
                <c:pt idx="3">
                  <c:v>1000</c:v>
                </c:pt>
                <c:pt idx="4">
                  <c:v>1250</c:v>
                </c:pt>
                <c:pt idx="5">
                  <c:v>4450</c:v>
                </c:pt>
                <c:pt idx="6">
                  <c:v>5550</c:v>
                </c:pt>
                <c:pt idx="7">
                  <c:v>2200</c:v>
                </c:pt>
                <c:pt idx="8">
                  <c:v>1150</c:v>
                </c:pt>
                <c:pt idx="9">
                  <c:v>2500</c:v>
                </c:pt>
                <c:pt idx="10">
                  <c:v>1850</c:v>
                </c:pt>
                <c:pt idx="11">
                  <c:v>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975-4A4A-B258-E518F04C7B93}"/>
            </c:ext>
          </c:extLst>
        </c:ser>
        <c:ser>
          <c:idx val="5"/>
          <c:order val="5"/>
          <c:tx>
            <c:strRef>
              <c:f>PERSONAL_BUDGET_TRACKER!$B$9</c:f>
              <c:strCache>
                <c:ptCount val="1"/>
                <c:pt idx="0">
                  <c:v>Electricity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79-A4A6-44FD-946C-2BACF023BF66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7B-A4A6-44FD-946C-2BACF023BF66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7D-A4A6-44FD-946C-2BACF023BF66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7F-A4A6-44FD-946C-2BACF023BF66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81-A4A6-44FD-946C-2BACF023BF66}"/>
              </c:ext>
            </c:extLst>
          </c:dPt>
          <c:dPt>
            <c:idx val="5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83-A4A6-44FD-946C-2BACF023BF66}"/>
              </c:ext>
            </c:extLst>
          </c:dPt>
          <c:dPt>
            <c:idx val="6"/>
            <c:bubble3D val="0"/>
            <c:spPr>
              <a:pattFill prst="ltUpDiag">
                <a:fgClr>
                  <a:schemeClr val="accent1">
                    <a:lumMod val="60000"/>
                  </a:schemeClr>
                </a:fgClr>
                <a:bgClr>
                  <a:schemeClr val="accent1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85-A4A6-44FD-946C-2BACF023BF66}"/>
              </c:ext>
            </c:extLst>
          </c:dPt>
          <c:dPt>
            <c:idx val="7"/>
            <c:bubble3D val="0"/>
            <c:spPr>
              <a:pattFill prst="ltUpDiag">
                <a:fgClr>
                  <a:schemeClr val="accent2">
                    <a:lumMod val="60000"/>
                  </a:schemeClr>
                </a:fgClr>
                <a:bgClr>
                  <a:schemeClr val="accent2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87-A4A6-44FD-946C-2BACF023BF66}"/>
              </c:ext>
            </c:extLst>
          </c:dPt>
          <c:dPt>
            <c:idx val="8"/>
            <c:bubble3D val="0"/>
            <c:spPr>
              <a:pattFill prst="ltUpDiag">
                <a:fgClr>
                  <a:schemeClr val="accent3">
                    <a:lumMod val="60000"/>
                  </a:schemeClr>
                </a:fgClr>
                <a:bgClr>
                  <a:schemeClr val="accent3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89-A4A6-44FD-946C-2BACF023BF66}"/>
              </c:ext>
            </c:extLst>
          </c:dPt>
          <c:dPt>
            <c:idx val="9"/>
            <c:bubble3D val="0"/>
            <c:spPr>
              <a:pattFill prst="ltUpDiag">
                <a:fgClr>
                  <a:schemeClr val="accent4">
                    <a:lumMod val="60000"/>
                  </a:schemeClr>
                </a:fgClr>
                <a:bgClr>
                  <a:schemeClr val="accent4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8B-A4A6-44FD-946C-2BACF023BF66}"/>
              </c:ext>
            </c:extLst>
          </c:dPt>
          <c:dPt>
            <c:idx val="10"/>
            <c:bubble3D val="0"/>
            <c:spPr>
              <a:pattFill prst="ltUpDiag">
                <a:fgClr>
                  <a:schemeClr val="accent5">
                    <a:lumMod val="60000"/>
                  </a:schemeClr>
                </a:fgClr>
                <a:bgClr>
                  <a:schemeClr val="accent5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8D-A4A6-44FD-946C-2BACF023BF66}"/>
              </c:ext>
            </c:extLst>
          </c:dPt>
          <c:dPt>
            <c:idx val="11"/>
            <c:bubble3D val="0"/>
            <c:spPr>
              <a:pattFill prst="ltUpDiag">
                <a:fgClr>
                  <a:schemeClr val="accent6">
                    <a:lumMod val="60000"/>
                  </a:schemeClr>
                </a:fgClr>
                <a:bgClr>
                  <a:schemeClr val="accent6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8F-A4A6-44FD-946C-2BACF023BF66}"/>
              </c:ext>
            </c:extLst>
          </c:dPt>
          <c:cat>
            <c:strRef>
              <c:f>PERSONAL_BUDGET_TRACKER!$C$3:$N$3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PERSONAL_BUDGET_TRACKER!$C$9:$N$9</c:f>
              <c:numCache>
                <c:formatCode>_(* #,##0.00_);_(* \(#,##0.00\);_(* "-"??_);_(@_)</c:formatCode>
                <c:ptCount val="12"/>
                <c:pt idx="0">
                  <c:v>850</c:v>
                </c:pt>
                <c:pt idx="1">
                  <c:v>700</c:v>
                </c:pt>
                <c:pt idx="2">
                  <c:v>600</c:v>
                </c:pt>
                <c:pt idx="3">
                  <c:v>1760</c:v>
                </c:pt>
                <c:pt idx="4">
                  <c:v>1635</c:v>
                </c:pt>
                <c:pt idx="5">
                  <c:v>898</c:v>
                </c:pt>
                <c:pt idx="6">
                  <c:v>561</c:v>
                </c:pt>
                <c:pt idx="7">
                  <c:v>524</c:v>
                </c:pt>
                <c:pt idx="8">
                  <c:v>487</c:v>
                </c:pt>
                <c:pt idx="9">
                  <c:v>450</c:v>
                </c:pt>
                <c:pt idx="10">
                  <c:v>413</c:v>
                </c:pt>
                <c:pt idx="11">
                  <c:v>376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975-4A4A-B258-E518F04C7B93}"/>
            </c:ext>
          </c:extLst>
        </c:ser>
        <c:ser>
          <c:idx val="6"/>
          <c:order val="6"/>
          <c:tx>
            <c:strRef>
              <c:f>PERSONAL_BUDGET_TRACKER!$B$10</c:f>
              <c:strCache>
                <c:ptCount val="1"/>
                <c:pt idx="0">
                  <c:v>Others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91-A4A6-44FD-946C-2BACF023BF66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93-A4A6-44FD-946C-2BACF023BF66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95-A4A6-44FD-946C-2BACF023BF66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97-A4A6-44FD-946C-2BACF023BF66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99-A4A6-44FD-946C-2BACF023BF66}"/>
              </c:ext>
            </c:extLst>
          </c:dPt>
          <c:dPt>
            <c:idx val="5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9B-A4A6-44FD-946C-2BACF023BF66}"/>
              </c:ext>
            </c:extLst>
          </c:dPt>
          <c:dPt>
            <c:idx val="6"/>
            <c:bubble3D val="0"/>
            <c:spPr>
              <a:pattFill prst="ltUpDiag">
                <a:fgClr>
                  <a:schemeClr val="accent1">
                    <a:lumMod val="60000"/>
                  </a:schemeClr>
                </a:fgClr>
                <a:bgClr>
                  <a:schemeClr val="accent1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9D-A4A6-44FD-946C-2BACF023BF66}"/>
              </c:ext>
            </c:extLst>
          </c:dPt>
          <c:dPt>
            <c:idx val="7"/>
            <c:bubble3D val="0"/>
            <c:spPr>
              <a:pattFill prst="ltUpDiag">
                <a:fgClr>
                  <a:schemeClr val="accent2">
                    <a:lumMod val="60000"/>
                  </a:schemeClr>
                </a:fgClr>
                <a:bgClr>
                  <a:schemeClr val="accent2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9F-A4A6-44FD-946C-2BACF023BF66}"/>
              </c:ext>
            </c:extLst>
          </c:dPt>
          <c:dPt>
            <c:idx val="8"/>
            <c:bubble3D val="0"/>
            <c:spPr>
              <a:pattFill prst="ltUpDiag">
                <a:fgClr>
                  <a:schemeClr val="accent3">
                    <a:lumMod val="60000"/>
                  </a:schemeClr>
                </a:fgClr>
                <a:bgClr>
                  <a:schemeClr val="accent3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A1-A4A6-44FD-946C-2BACF023BF66}"/>
              </c:ext>
            </c:extLst>
          </c:dPt>
          <c:dPt>
            <c:idx val="9"/>
            <c:bubble3D val="0"/>
            <c:spPr>
              <a:pattFill prst="ltUpDiag">
                <a:fgClr>
                  <a:schemeClr val="accent4">
                    <a:lumMod val="60000"/>
                  </a:schemeClr>
                </a:fgClr>
                <a:bgClr>
                  <a:schemeClr val="accent4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A3-A4A6-44FD-946C-2BACF023BF66}"/>
              </c:ext>
            </c:extLst>
          </c:dPt>
          <c:dPt>
            <c:idx val="10"/>
            <c:bubble3D val="0"/>
            <c:spPr>
              <a:pattFill prst="ltUpDiag">
                <a:fgClr>
                  <a:schemeClr val="accent5">
                    <a:lumMod val="60000"/>
                  </a:schemeClr>
                </a:fgClr>
                <a:bgClr>
                  <a:schemeClr val="accent5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A5-A4A6-44FD-946C-2BACF023BF66}"/>
              </c:ext>
            </c:extLst>
          </c:dPt>
          <c:dPt>
            <c:idx val="11"/>
            <c:bubble3D val="0"/>
            <c:spPr>
              <a:pattFill prst="ltUpDiag">
                <a:fgClr>
                  <a:schemeClr val="accent6">
                    <a:lumMod val="60000"/>
                  </a:schemeClr>
                </a:fgClr>
                <a:bgClr>
                  <a:schemeClr val="accent6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60000"/>
                  </a:scheme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A7-A4A6-44FD-946C-2BACF023BF66}"/>
              </c:ext>
            </c:extLst>
          </c:dPt>
          <c:cat>
            <c:strRef>
              <c:f>PERSONAL_BUDGET_TRACKER!$C$3:$N$3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PERSONAL_BUDGET_TRACKER!$C$10:$N$10</c:f>
              <c:numCache>
                <c:formatCode>_(* #,##0.00_);_(* \(#,##0.00\);_(* "-"??_);_(@_)</c:formatCode>
                <c:ptCount val="12"/>
                <c:pt idx="0">
                  <c:v>2000</c:v>
                </c:pt>
                <c:pt idx="1">
                  <c:v>2000</c:v>
                </c:pt>
                <c:pt idx="2">
                  <c:v>2300</c:v>
                </c:pt>
                <c:pt idx="3">
                  <c:v>1000</c:v>
                </c:pt>
                <c:pt idx="4">
                  <c:v>1150</c:v>
                </c:pt>
                <c:pt idx="5">
                  <c:v>1880</c:v>
                </c:pt>
                <c:pt idx="6">
                  <c:v>2310</c:v>
                </c:pt>
                <c:pt idx="7">
                  <c:v>2340</c:v>
                </c:pt>
                <c:pt idx="8">
                  <c:v>3270</c:v>
                </c:pt>
                <c:pt idx="9">
                  <c:v>4200</c:v>
                </c:pt>
                <c:pt idx="10">
                  <c:v>2470</c:v>
                </c:pt>
                <c:pt idx="11">
                  <c:v>1740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975-4A4A-B258-E518F04C7B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Expenses By Category (Year)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PERSONAL_BUDGET_TRACKER!$B$19:$B$30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PERSONAL_BUDGET_TRACKER!$C$19:$C$30</c:f>
              <c:numCache>
                <c:formatCode>#,##0</c:formatCode>
                <c:ptCount val="12"/>
                <c:pt idx="0">
                  <c:v>28550</c:v>
                </c:pt>
                <c:pt idx="1">
                  <c:v>29900</c:v>
                </c:pt>
                <c:pt idx="2">
                  <c:v>32100</c:v>
                </c:pt>
                <c:pt idx="3">
                  <c:v>27830</c:v>
                </c:pt>
                <c:pt idx="4">
                  <c:v>26105</c:v>
                </c:pt>
                <c:pt idx="5">
                  <c:v>27209</c:v>
                </c:pt>
                <c:pt idx="6">
                  <c:v>29113</c:v>
                </c:pt>
                <c:pt idx="7">
                  <c:v>24967</c:v>
                </c:pt>
                <c:pt idx="8">
                  <c:v>27021</c:v>
                </c:pt>
                <c:pt idx="9">
                  <c:v>32075</c:v>
                </c:pt>
                <c:pt idx="10">
                  <c:v>26269</c:v>
                </c:pt>
                <c:pt idx="11">
                  <c:v>24463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E2-46F3-8950-7E322E665E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5333248"/>
        <c:axId val="1015343168"/>
      </c:barChart>
      <c:catAx>
        <c:axId val="101533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5343168"/>
        <c:crosses val="autoZero"/>
        <c:auto val="1"/>
        <c:lblAlgn val="ctr"/>
        <c:lblOffset val="100"/>
        <c:noMultiLvlLbl val="0"/>
      </c:catAx>
      <c:valAx>
        <c:axId val="1015343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533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Expenses By </a:t>
            </a:r>
            <a:r>
              <a:rPr lang="en-IN"/>
              <a:t>Categories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EXPENSES_BY_CATEGOTIES!$G$4</c:f>
              <c:strCache>
                <c:ptCount val="1"/>
                <c:pt idx="0">
                  <c:v>Total Spent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ADD-4A2A-9BF8-1A8496B0FE8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ADD-4A2A-9BF8-1A8496B0FE8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ADD-4A2A-9BF8-1A8496B0FE8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ADD-4A2A-9BF8-1A8496B0FE8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AADD-4A2A-9BF8-1A8496B0FE8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AADD-4A2A-9BF8-1A8496B0FE8A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EXPENSES_BY_CATEGOTIES!$F$5:$F$10</c:f>
              <c:strCache>
                <c:ptCount val="6"/>
                <c:pt idx="0">
                  <c:v>Food</c:v>
                </c:pt>
                <c:pt idx="1">
                  <c:v>Transport</c:v>
                </c:pt>
                <c:pt idx="2">
                  <c:v>Shopping</c:v>
                </c:pt>
                <c:pt idx="3">
                  <c:v>Utilities</c:v>
                </c:pt>
                <c:pt idx="4">
                  <c:v>Other</c:v>
                </c:pt>
                <c:pt idx="5">
                  <c:v>Entertainment</c:v>
                </c:pt>
              </c:strCache>
            </c:strRef>
          </c:cat>
          <c:val>
            <c:numRef>
              <c:f>EXPENSES_BY_CATEGOTIES!$G$5:$G$10</c:f>
              <c:numCache>
                <c:formatCode>General</c:formatCode>
                <c:ptCount val="6"/>
                <c:pt idx="0">
                  <c:v>1550</c:v>
                </c:pt>
                <c:pt idx="1">
                  <c:v>300</c:v>
                </c:pt>
                <c:pt idx="2">
                  <c:v>2100</c:v>
                </c:pt>
                <c:pt idx="3">
                  <c:v>1270</c:v>
                </c:pt>
                <c:pt idx="4">
                  <c:v>400</c:v>
                </c:pt>
                <c:pt idx="5">
                  <c:v>830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27-4D88-8BE8-B87ABFEF3BD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400050</xdr:colOff>
      <xdr:row>13</xdr:row>
      <xdr:rowOff>166687</xdr:rowOff>
    </xdr:from>
    <xdr:to>
      <xdr:col>17</xdr:col>
      <xdr:colOff>476250</xdr:colOff>
      <xdr:row>28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5255A4-E604-39CF-432C-972D6934D0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214312</xdr:colOff>
      <xdr:row>13</xdr:row>
      <xdr:rowOff>185737</xdr:rowOff>
    </xdr:from>
    <xdr:to>
      <xdr:col>10</xdr:col>
      <xdr:colOff>109537</xdr:colOff>
      <xdr:row>28</xdr:row>
      <xdr:rowOff>71437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BBC92F8-6E59-7270-C6FF-F04BBAF901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504825</xdr:colOff>
      <xdr:row>0</xdr:row>
      <xdr:rowOff>109537</xdr:rowOff>
    </xdr:from>
    <xdr:to>
      <xdr:col>13</xdr:col>
      <xdr:colOff>438150</xdr:colOff>
      <xdr:row>12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1EE5A8-77E5-D2E7-33FB-8D0264EF02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FC28F2A-DFD6-4E91-806B-C0BF7CCE4D2E}" autoFormatId="16" applyNumberFormats="0" applyBorderFormats="0" applyFontFormats="0" applyPatternFormats="0" applyAlignmentFormats="0" applyWidthHeightFormats="0">
  <queryTableRefresh nextId="5">
    <queryTableFields count="4">
      <queryTableField id="1" name="Date" tableColumnId="1"/>
      <queryTableField id="2" name="Category" tableColumnId="2"/>
      <queryTableField id="3" name="Amount" tableColumnId="3"/>
      <queryTableField id="4" name="Note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EC1D59-7C8D-4CB3-91ED-EEBE0709415B}" name="Date_Category_Amount_Notes" displayName="Date_Category_Amount_Notes" ref="A1:D25" tableType="queryTable" totalsRowShown="0">
  <autoFilter ref="A1:D25" xr:uid="{63EC1D59-7C8D-4CB3-91ED-EEBE0709415B}"/>
  <tableColumns count="4">
    <tableColumn id="1" xr3:uid="{B82B1733-2D1E-4B88-A565-37F8367ABF9F}" uniqueName="1" name="Date" queryTableFieldId="1" dataDxfId="2"/>
    <tableColumn id="2" xr3:uid="{7EF44274-DB16-421E-AA15-8E92841EE2CA}" uniqueName="2" name="Category" queryTableFieldId="2" dataDxfId="1"/>
    <tableColumn id="3" xr3:uid="{74C99EB9-1159-40B3-AE2D-B15BE68FFD79}" uniqueName="3" name="Amount" queryTableFieldId="3"/>
    <tableColumn id="4" xr3:uid="{2BCCB9FC-0D7B-4E52-B889-AF46EF1A0A03}" uniqueName="4" name="Notes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D6DE0-9F17-4219-8E65-A9BBBA1C23CA}">
  <dimension ref="B2:N30"/>
  <sheetViews>
    <sheetView tabSelected="1" zoomScale="85" zoomScaleNormal="85" workbookViewId="0">
      <selection activeCell="O11" sqref="O11"/>
    </sheetView>
  </sheetViews>
  <sheetFormatPr defaultRowHeight="15" x14ac:dyDescent="0.25"/>
  <cols>
    <col min="2" max="2" width="14.85546875" customWidth="1"/>
    <col min="3" max="4" width="10" bestFit="1" customWidth="1"/>
    <col min="5" max="5" width="10.140625" bestFit="1" customWidth="1"/>
    <col min="6" max="14" width="10" bestFit="1" customWidth="1"/>
  </cols>
  <sheetData>
    <row r="2" spans="2:14" x14ac:dyDescent="0.25">
      <c r="F2" s="7" t="s">
        <v>23</v>
      </c>
      <c r="G2" s="7"/>
      <c r="H2" s="7"/>
      <c r="I2" s="7"/>
    </row>
    <row r="3" spans="2:14" x14ac:dyDescent="0.25">
      <c r="B3" s="1" t="s">
        <v>0</v>
      </c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1" t="s">
        <v>13</v>
      </c>
      <c r="I3" s="1" t="s">
        <v>14</v>
      </c>
      <c r="J3" s="1" t="s">
        <v>15</v>
      </c>
      <c r="K3" s="1" t="s">
        <v>16</v>
      </c>
      <c r="L3" s="1" t="s">
        <v>17</v>
      </c>
      <c r="M3" s="1" t="s">
        <v>18</v>
      </c>
      <c r="N3" s="1" t="s">
        <v>19</v>
      </c>
    </row>
    <row r="4" spans="2:14" x14ac:dyDescent="0.25">
      <c r="B4" t="s">
        <v>2</v>
      </c>
      <c r="C4" s="6">
        <v>8000</v>
      </c>
      <c r="D4" s="6">
        <v>9000</v>
      </c>
      <c r="E4" s="6">
        <v>10000</v>
      </c>
      <c r="F4" s="6">
        <v>7500</v>
      </c>
      <c r="G4" s="6">
        <v>5000</v>
      </c>
      <c r="H4" s="6">
        <v>2500</v>
      </c>
      <c r="I4" s="6">
        <v>2800</v>
      </c>
      <c r="J4" s="6">
        <v>1600</v>
      </c>
      <c r="K4" s="6">
        <v>3400</v>
      </c>
      <c r="L4" s="6">
        <v>5800</v>
      </c>
      <c r="M4" s="6">
        <v>2000</v>
      </c>
      <c r="N4" s="6">
        <v>3200</v>
      </c>
    </row>
    <row r="5" spans="2:14" x14ac:dyDescent="0.25">
      <c r="B5" t="s">
        <v>3</v>
      </c>
      <c r="C5" s="6">
        <v>3000</v>
      </c>
      <c r="D5" s="6">
        <v>2500</v>
      </c>
      <c r="E5" s="6">
        <v>4000</v>
      </c>
      <c r="F5" s="6">
        <v>3870</v>
      </c>
      <c r="G5" s="6">
        <v>4370</v>
      </c>
      <c r="H5" s="6">
        <v>4781</v>
      </c>
      <c r="I5" s="6">
        <v>5192</v>
      </c>
      <c r="J5" s="6">
        <v>5603</v>
      </c>
      <c r="K5" s="6">
        <v>6014</v>
      </c>
      <c r="L5" s="6">
        <v>6425</v>
      </c>
      <c r="M5" s="6">
        <v>6836</v>
      </c>
      <c r="N5" s="6">
        <v>5247</v>
      </c>
    </row>
    <row r="6" spans="2:14" x14ac:dyDescent="0.25">
      <c r="B6" t="s">
        <v>4</v>
      </c>
      <c r="C6" s="6">
        <v>12000</v>
      </c>
      <c r="D6" s="6">
        <v>12000</v>
      </c>
      <c r="E6" s="6">
        <v>12000</v>
      </c>
      <c r="F6" s="6">
        <v>12000</v>
      </c>
      <c r="G6" s="6">
        <v>12000</v>
      </c>
      <c r="H6" s="6">
        <v>12000</v>
      </c>
      <c r="I6" s="6">
        <v>12000</v>
      </c>
      <c r="J6" s="6">
        <v>12000</v>
      </c>
      <c r="K6" s="6">
        <v>12000</v>
      </c>
      <c r="L6" s="6">
        <v>12000</v>
      </c>
      <c r="M6" s="6">
        <v>12000</v>
      </c>
      <c r="N6" s="6">
        <v>12000</v>
      </c>
    </row>
    <row r="7" spans="2:14" x14ac:dyDescent="0.25">
      <c r="B7" t="s">
        <v>5</v>
      </c>
      <c r="C7" s="6">
        <v>700</v>
      </c>
      <c r="D7" s="6">
        <v>700</v>
      </c>
      <c r="E7" s="6">
        <v>700</v>
      </c>
      <c r="F7" s="6">
        <v>700</v>
      </c>
      <c r="G7" s="6">
        <v>700</v>
      </c>
      <c r="H7" s="6">
        <v>700</v>
      </c>
      <c r="I7" s="6">
        <v>700</v>
      </c>
      <c r="J7" s="6">
        <v>700</v>
      </c>
      <c r="K7" s="6">
        <v>700</v>
      </c>
      <c r="L7" s="6">
        <v>700</v>
      </c>
      <c r="M7" s="6">
        <v>700</v>
      </c>
      <c r="N7" s="6">
        <v>700</v>
      </c>
    </row>
    <row r="8" spans="2:14" x14ac:dyDescent="0.25">
      <c r="B8" t="s">
        <v>20</v>
      </c>
      <c r="C8" s="6">
        <v>2000</v>
      </c>
      <c r="D8" s="6">
        <v>3000</v>
      </c>
      <c r="E8" s="6">
        <v>2500</v>
      </c>
      <c r="F8" s="6">
        <v>1000</v>
      </c>
      <c r="G8" s="6">
        <v>1250</v>
      </c>
      <c r="H8" s="6">
        <v>4450</v>
      </c>
      <c r="I8" s="6">
        <v>5550</v>
      </c>
      <c r="J8" s="6">
        <v>2200</v>
      </c>
      <c r="K8" s="6">
        <v>1150</v>
      </c>
      <c r="L8" s="6">
        <v>2500</v>
      </c>
      <c r="M8" s="6">
        <v>1850</v>
      </c>
      <c r="N8" s="6">
        <v>1200</v>
      </c>
    </row>
    <row r="9" spans="2:14" x14ac:dyDescent="0.25">
      <c r="B9" t="s">
        <v>21</v>
      </c>
      <c r="C9" s="6">
        <v>850</v>
      </c>
      <c r="D9" s="6">
        <v>700</v>
      </c>
      <c r="E9" s="6">
        <v>600</v>
      </c>
      <c r="F9" s="6">
        <v>1760</v>
      </c>
      <c r="G9" s="6">
        <v>1635</v>
      </c>
      <c r="H9" s="6">
        <v>898</v>
      </c>
      <c r="I9" s="6">
        <v>561</v>
      </c>
      <c r="J9" s="6">
        <v>524</v>
      </c>
      <c r="K9" s="6">
        <v>487</v>
      </c>
      <c r="L9" s="6">
        <v>450</v>
      </c>
      <c r="M9" s="6">
        <v>413</v>
      </c>
      <c r="N9" s="6">
        <v>376</v>
      </c>
    </row>
    <row r="10" spans="2:14" x14ac:dyDescent="0.25">
      <c r="B10" t="s">
        <v>22</v>
      </c>
      <c r="C10" s="6">
        <v>2000</v>
      </c>
      <c r="D10" s="6">
        <v>2000</v>
      </c>
      <c r="E10" s="6">
        <v>2300</v>
      </c>
      <c r="F10" s="6">
        <v>1000</v>
      </c>
      <c r="G10" s="6">
        <v>1150</v>
      </c>
      <c r="H10" s="6">
        <v>1880</v>
      </c>
      <c r="I10" s="6">
        <v>2310</v>
      </c>
      <c r="J10" s="6">
        <v>2340</v>
      </c>
      <c r="K10" s="6">
        <v>3270</v>
      </c>
      <c r="L10" s="6">
        <v>4200</v>
      </c>
      <c r="M10" s="6">
        <v>2470</v>
      </c>
      <c r="N10" s="6">
        <v>1740</v>
      </c>
    </row>
    <row r="11" spans="2:14" x14ac:dyDescent="0.25">
      <c r="B11" s="4" t="s">
        <v>6</v>
      </c>
      <c r="C11" s="3">
        <f>SUM(C4:C10)</f>
        <v>28550</v>
      </c>
      <c r="D11" s="3">
        <f>SUM(D4:D10)</f>
        <v>29900</v>
      </c>
      <c r="E11" s="3">
        <f t="shared" ref="E11:G11" si="0">SUM(E4:E10)</f>
        <v>32100</v>
      </c>
      <c r="F11" s="3">
        <f t="shared" si="0"/>
        <v>27830</v>
      </c>
      <c r="G11" s="3">
        <f t="shared" si="0"/>
        <v>26105</v>
      </c>
      <c r="H11" s="3">
        <f t="shared" ref="H11" si="1">SUM(H4:H10)</f>
        <v>27209</v>
      </c>
      <c r="I11" s="3">
        <f t="shared" ref="I11:J11" si="2">SUM(I4:I10)</f>
        <v>29113</v>
      </c>
      <c r="J11" s="3">
        <f t="shared" si="2"/>
        <v>24967</v>
      </c>
      <c r="K11" s="3">
        <f>SUM(K4:K10)</f>
        <v>27021</v>
      </c>
      <c r="L11" s="3">
        <f>SUM(L4:L10)</f>
        <v>32075</v>
      </c>
      <c r="M11" s="3">
        <f t="shared" ref="M11" si="3">SUM(M4:M10)</f>
        <v>26269</v>
      </c>
      <c r="N11" s="3">
        <f>SUM(N4:N10)</f>
        <v>24463</v>
      </c>
    </row>
    <row r="12" spans="2:14" x14ac:dyDescent="0.25">
      <c r="B12" s="4" t="s">
        <v>7</v>
      </c>
      <c r="C12" s="3">
        <f>AVERAGE(C4:C10)</f>
        <v>4078.5714285714284</v>
      </c>
      <c r="D12" s="3">
        <f>AVERAGE(D4:D10)</f>
        <v>4271.4285714285716</v>
      </c>
      <c r="E12" s="3">
        <f t="shared" ref="E12:G12" si="4">AVERAGE(E4:E10)</f>
        <v>4585.7142857142853</v>
      </c>
      <c r="F12" s="3">
        <f t="shared" si="4"/>
        <v>3975.7142857142858</v>
      </c>
      <c r="G12" s="3">
        <f t="shared" si="4"/>
        <v>3729.2857142857142</v>
      </c>
      <c r="H12" s="3">
        <f>AVERAGE(H4:H10)</f>
        <v>3887</v>
      </c>
      <c r="I12" s="3">
        <f>AVERAGE(I4:I10)</f>
        <v>4159</v>
      </c>
      <c r="J12" s="3">
        <f>AVERAGE(J4:J10)</f>
        <v>3566.7142857142858</v>
      </c>
      <c r="K12" s="3">
        <f t="shared" ref="K12:M12" si="5">AVERAGE(K4:K10)</f>
        <v>3860.1428571428573</v>
      </c>
      <c r="L12" s="3">
        <f t="shared" si="5"/>
        <v>4582.1428571428569</v>
      </c>
      <c r="M12" s="3">
        <f t="shared" si="5"/>
        <v>3752.7142857142858</v>
      </c>
      <c r="N12" s="3">
        <f>AVERAGE(N4:N10)</f>
        <v>3494.7142857142858</v>
      </c>
    </row>
    <row r="13" spans="2:14" x14ac:dyDescent="0.25">
      <c r="B13" s="4" t="s">
        <v>24</v>
      </c>
      <c r="C13" s="8">
        <f>SUM(C11:N11)</f>
        <v>335602</v>
      </c>
      <c r="D13" s="8"/>
    </row>
    <row r="18" spans="2:3" x14ac:dyDescent="0.25">
      <c r="B18" t="s">
        <v>54</v>
      </c>
      <c r="C18" t="s">
        <v>55</v>
      </c>
    </row>
    <row r="19" spans="2:3" x14ac:dyDescent="0.25">
      <c r="B19" t="s">
        <v>56</v>
      </c>
      <c r="C19" s="2">
        <f>C11</f>
        <v>28550</v>
      </c>
    </row>
    <row r="20" spans="2:3" x14ac:dyDescent="0.25">
      <c r="B20" t="s">
        <v>57</v>
      </c>
      <c r="C20" s="2">
        <f>D11</f>
        <v>29900</v>
      </c>
    </row>
    <row r="21" spans="2:3" x14ac:dyDescent="0.25">
      <c r="B21" t="s">
        <v>58</v>
      </c>
      <c r="C21" s="2">
        <f>E11</f>
        <v>32100</v>
      </c>
    </row>
    <row r="22" spans="2:3" x14ac:dyDescent="0.25">
      <c r="B22" t="s">
        <v>59</v>
      </c>
      <c r="C22" s="2">
        <f>F11</f>
        <v>27830</v>
      </c>
    </row>
    <row r="23" spans="2:3" x14ac:dyDescent="0.25">
      <c r="B23" t="s">
        <v>60</v>
      </c>
      <c r="C23" s="2">
        <f>G11</f>
        <v>26105</v>
      </c>
    </row>
    <row r="24" spans="2:3" x14ac:dyDescent="0.25">
      <c r="B24" t="s">
        <v>61</v>
      </c>
      <c r="C24" s="2">
        <f>H11</f>
        <v>27209</v>
      </c>
    </row>
    <row r="25" spans="2:3" x14ac:dyDescent="0.25">
      <c r="B25" t="s">
        <v>62</v>
      </c>
      <c r="C25" s="2">
        <f>I11</f>
        <v>29113</v>
      </c>
    </row>
    <row r="26" spans="2:3" x14ac:dyDescent="0.25">
      <c r="B26" t="s">
        <v>63</v>
      </c>
      <c r="C26" s="2">
        <f>J11</f>
        <v>24967</v>
      </c>
    </row>
    <row r="27" spans="2:3" x14ac:dyDescent="0.25">
      <c r="B27" t="s">
        <v>64</v>
      </c>
      <c r="C27" s="2">
        <f>K11</f>
        <v>27021</v>
      </c>
    </row>
    <row r="28" spans="2:3" x14ac:dyDescent="0.25">
      <c r="B28" t="s">
        <v>65</v>
      </c>
      <c r="C28" s="2">
        <f>L11</f>
        <v>32075</v>
      </c>
    </row>
    <row r="29" spans="2:3" x14ac:dyDescent="0.25">
      <c r="B29" t="s">
        <v>66</v>
      </c>
      <c r="C29" s="2">
        <f>M11</f>
        <v>26269</v>
      </c>
    </row>
    <row r="30" spans="2:3" x14ac:dyDescent="0.25">
      <c r="B30" t="s">
        <v>67</v>
      </c>
      <c r="C30" s="2">
        <f>N11</f>
        <v>24463</v>
      </c>
    </row>
  </sheetData>
  <mergeCells count="2">
    <mergeCell ref="F2:I2"/>
    <mergeCell ref="C13:D13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8DFA2-9281-450F-B641-19C09537D77B}">
  <dimension ref="A1:G25"/>
  <sheetViews>
    <sheetView workbookViewId="0">
      <selection activeCell="J17" sqref="J17"/>
    </sheetView>
  </sheetViews>
  <sheetFormatPr defaultRowHeight="15" x14ac:dyDescent="0.25"/>
  <cols>
    <col min="1" max="1" width="10.42578125" bestFit="1" customWidth="1"/>
    <col min="2" max="2" width="13.42578125" bestFit="1" customWidth="1"/>
    <col min="3" max="3" width="10.28515625" bestFit="1" customWidth="1"/>
    <col min="4" max="4" width="22.7109375" bestFit="1" customWidth="1"/>
    <col min="6" max="6" width="13.42578125" bestFit="1" customWidth="1"/>
    <col min="7" max="7" width="10.7109375" bestFit="1" customWidth="1"/>
  </cols>
  <sheetData>
    <row r="1" spans="1:7" x14ac:dyDescent="0.25">
      <c r="A1" t="s">
        <v>25</v>
      </c>
      <c r="B1" t="s">
        <v>0</v>
      </c>
      <c r="C1" t="s">
        <v>1</v>
      </c>
      <c r="D1" t="s">
        <v>26</v>
      </c>
    </row>
    <row r="2" spans="1:7" x14ac:dyDescent="0.25">
      <c r="A2" s="5">
        <v>45658</v>
      </c>
      <c r="B2" t="s">
        <v>2</v>
      </c>
      <c r="C2">
        <v>250</v>
      </c>
      <c r="D2" t="s">
        <v>27</v>
      </c>
    </row>
    <row r="3" spans="1:7" x14ac:dyDescent="0.25">
      <c r="A3" s="5">
        <v>45659</v>
      </c>
      <c r="B3" t="s">
        <v>3</v>
      </c>
      <c r="C3">
        <v>60</v>
      </c>
      <c r="D3" t="s">
        <v>28</v>
      </c>
    </row>
    <row r="4" spans="1:7" x14ac:dyDescent="0.25">
      <c r="A4" s="5">
        <v>45660</v>
      </c>
      <c r="B4" t="s">
        <v>29</v>
      </c>
      <c r="C4">
        <v>300</v>
      </c>
      <c r="D4" t="s">
        <v>30</v>
      </c>
      <c r="F4" s="1" t="s">
        <v>0</v>
      </c>
      <c r="G4" s="1" t="s">
        <v>53</v>
      </c>
    </row>
    <row r="5" spans="1:7" x14ac:dyDescent="0.25">
      <c r="A5" s="5">
        <v>45662</v>
      </c>
      <c r="B5" t="s">
        <v>31</v>
      </c>
      <c r="C5">
        <v>800</v>
      </c>
      <c r="D5" t="s">
        <v>32</v>
      </c>
      <c r="F5" t="s">
        <v>2</v>
      </c>
      <c r="G5">
        <f>SUMIF($B:$B,B2,$C:$C)</f>
        <v>1550</v>
      </c>
    </row>
    <row r="6" spans="1:7" x14ac:dyDescent="0.25">
      <c r="A6" s="5">
        <v>45665</v>
      </c>
      <c r="B6" t="s">
        <v>33</v>
      </c>
      <c r="C6">
        <v>400</v>
      </c>
      <c r="D6" t="s">
        <v>34</v>
      </c>
      <c r="F6" t="s">
        <v>3</v>
      </c>
      <c r="G6">
        <f>SUMIF($B:$B,B3,$C:$C)</f>
        <v>300</v>
      </c>
    </row>
    <row r="7" spans="1:7" x14ac:dyDescent="0.25">
      <c r="A7" s="5">
        <v>45667</v>
      </c>
      <c r="B7" t="s">
        <v>2</v>
      </c>
      <c r="C7">
        <v>180</v>
      </c>
      <c r="D7" t="s">
        <v>35</v>
      </c>
      <c r="F7" t="s">
        <v>31</v>
      </c>
      <c r="G7">
        <f>SUMIF($B:$B,B5,$C:$C)</f>
        <v>2100</v>
      </c>
    </row>
    <row r="8" spans="1:7" x14ac:dyDescent="0.25">
      <c r="A8" s="5">
        <v>45672</v>
      </c>
      <c r="B8" t="s">
        <v>36</v>
      </c>
      <c r="C8">
        <v>150</v>
      </c>
      <c r="D8" t="s">
        <v>37</v>
      </c>
      <c r="F8" t="s">
        <v>33</v>
      </c>
      <c r="G8">
        <f>SUMIF($B:$B,B6,$C:$C)</f>
        <v>1270</v>
      </c>
    </row>
    <row r="9" spans="1:7" x14ac:dyDescent="0.25">
      <c r="A9" s="5">
        <v>45677</v>
      </c>
      <c r="B9" t="s">
        <v>3</v>
      </c>
      <c r="C9">
        <v>50</v>
      </c>
      <c r="D9" t="s">
        <v>38</v>
      </c>
      <c r="F9" t="s">
        <v>36</v>
      </c>
      <c r="G9">
        <f>SUMIF($B:$B,B8,$C:$C)</f>
        <v>400</v>
      </c>
    </row>
    <row r="10" spans="1:7" x14ac:dyDescent="0.25">
      <c r="A10" s="5">
        <v>45682</v>
      </c>
      <c r="B10" t="s">
        <v>2</v>
      </c>
      <c r="C10">
        <v>220</v>
      </c>
      <c r="D10" t="s">
        <v>39</v>
      </c>
      <c r="F10" t="s">
        <v>29</v>
      </c>
      <c r="G10">
        <f>SUMIF($B:$B,B4,$C:$C)</f>
        <v>830</v>
      </c>
    </row>
    <row r="11" spans="1:7" x14ac:dyDescent="0.25">
      <c r="A11" s="5">
        <v>45689</v>
      </c>
      <c r="B11" t="s">
        <v>2</v>
      </c>
      <c r="C11">
        <v>260</v>
      </c>
      <c r="D11" t="s">
        <v>40</v>
      </c>
    </row>
    <row r="12" spans="1:7" x14ac:dyDescent="0.25">
      <c r="A12" s="5">
        <v>45691</v>
      </c>
      <c r="B12" t="s">
        <v>31</v>
      </c>
      <c r="C12">
        <v>600</v>
      </c>
      <c r="D12" t="s">
        <v>41</v>
      </c>
    </row>
    <row r="13" spans="1:7" x14ac:dyDescent="0.25">
      <c r="A13" s="5">
        <v>45694</v>
      </c>
      <c r="B13" t="s">
        <v>29</v>
      </c>
      <c r="C13">
        <v>250</v>
      </c>
      <c r="D13" t="s">
        <v>42</v>
      </c>
    </row>
    <row r="14" spans="1:7" x14ac:dyDescent="0.25">
      <c r="A14" s="5">
        <v>45697</v>
      </c>
      <c r="B14" t="s">
        <v>3</v>
      </c>
      <c r="C14">
        <v>70</v>
      </c>
      <c r="D14" t="s">
        <v>43</v>
      </c>
    </row>
    <row r="15" spans="1:7" x14ac:dyDescent="0.25">
      <c r="A15" s="5">
        <v>45700</v>
      </c>
      <c r="B15" t="s">
        <v>33</v>
      </c>
      <c r="C15">
        <v>450</v>
      </c>
      <c r="D15" t="s">
        <v>44</v>
      </c>
    </row>
    <row r="16" spans="1:7" x14ac:dyDescent="0.25">
      <c r="A16" s="5">
        <v>45703</v>
      </c>
      <c r="B16" t="s">
        <v>2</v>
      </c>
      <c r="C16">
        <v>190</v>
      </c>
      <c r="D16" t="s">
        <v>45</v>
      </c>
    </row>
    <row r="17" spans="1:4" x14ac:dyDescent="0.25">
      <c r="A17" s="5">
        <v>45708</v>
      </c>
      <c r="B17" t="s">
        <v>36</v>
      </c>
      <c r="C17">
        <v>120</v>
      </c>
      <c r="D17" t="s">
        <v>46</v>
      </c>
    </row>
    <row r="18" spans="1:4" x14ac:dyDescent="0.25">
      <c r="A18" s="5">
        <v>45717</v>
      </c>
      <c r="B18" t="s">
        <v>2</v>
      </c>
      <c r="C18">
        <v>240</v>
      </c>
      <c r="D18" t="s">
        <v>40</v>
      </c>
    </row>
    <row r="19" spans="1:4" x14ac:dyDescent="0.25">
      <c r="A19" s="5">
        <v>45720</v>
      </c>
      <c r="B19" t="s">
        <v>3</v>
      </c>
      <c r="C19">
        <v>65</v>
      </c>
      <c r="D19" t="s">
        <v>43</v>
      </c>
    </row>
    <row r="20" spans="1:4" x14ac:dyDescent="0.25">
      <c r="A20" s="5">
        <v>45723</v>
      </c>
      <c r="B20" t="s">
        <v>31</v>
      </c>
      <c r="C20">
        <v>700</v>
      </c>
      <c r="D20" t="s">
        <v>47</v>
      </c>
    </row>
    <row r="21" spans="1:4" x14ac:dyDescent="0.25">
      <c r="A21" s="5">
        <v>45726</v>
      </c>
      <c r="B21" t="s">
        <v>29</v>
      </c>
      <c r="C21">
        <v>280</v>
      </c>
      <c r="D21" t="s">
        <v>48</v>
      </c>
    </row>
    <row r="22" spans="1:4" x14ac:dyDescent="0.25">
      <c r="A22" s="5">
        <v>45729</v>
      </c>
      <c r="B22" t="s">
        <v>33</v>
      </c>
      <c r="C22">
        <v>420</v>
      </c>
      <c r="D22" t="s">
        <v>49</v>
      </c>
    </row>
    <row r="23" spans="1:4" x14ac:dyDescent="0.25">
      <c r="A23" s="5">
        <v>45734</v>
      </c>
      <c r="B23" t="s">
        <v>2</v>
      </c>
      <c r="C23">
        <v>210</v>
      </c>
      <c r="D23" t="s">
        <v>50</v>
      </c>
    </row>
    <row r="24" spans="1:4" x14ac:dyDescent="0.25">
      <c r="A24" s="5">
        <v>45738</v>
      </c>
      <c r="B24" t="s">
        <v>36</v>
      </c>
      <c r="C24">
        <v>130</v>
      </c>
      <c r="D24" t="s">
        <v>51</v>
      </c>
    </row>
    <row r="25" spans="1:4" x14ac:dyDescent="0.25">
      <c r="A25" s="5">
        <v>45744</v>
      </c>
      <c r="B25" t="s">
        <v>3</v>
      </c>
      <c r="C25">
        <v>55</v>
      </c>
      <c r="D25" t="s">
        <v>52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A21F7C6-476D-46BB-817C-F560B292CD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PERSONAL_BUDGET_TRACKER</vt:lpstr>
      <vt:lpstr>EXPENSES_BY_CATEGOTIES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 Revuri</dc:creator>
  <cp:lastModifiedBy>Vishnu Revuri</cp:lastModifiedBy>
  <dcterms:created xsi:type="dcterms:W3CDTF">2025-12-17T12:35:39Z</dcterms:created>
  <dcterms:modified xsi:type="dcterms:W3CDTF">2025-12-28T12:05:31Z</dcterms:modified>
</cp:coreProperties>
</file>